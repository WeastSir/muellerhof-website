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D4036"/>
      <sz val="24"/>
    </font>
    <font>
      <name val="Arial"/>
      <i val="1"/>
      <color rgb="00674A2D"/>
      <sz val="10"/>
    </font>
    <font>
      <name val="Arial"/>
      <color rgb="002A2520"/>
      <sz val="10"/>
    </font>
    <font>
      <name val="Arial"/>
      <b val="1"/>
      <color rgb="00674A2D"/>
      <sz val="20"/>
    </font>
    <font>
      <name val="Arial"/>
      <b val="1"/>
      <color rgb="00674A2D"/>
      <sz val="9"/>
    </font>
    <font>
      <name val="Arial"/>
      <b val="1"/>
      <color rgb="002A2520"/>
      <sz val="10"/>
    </font>
    <font>
      <name val="Arial"/>
      <b val="1"/>
      <color rgb="002D4036"/>
      <sz val="12"/>
    </font>
    <font>
      <name val="Arial"/>
      <i val="1"/>
      <color rgb="005C5448"/>
      <sz val="9"/>
    </font>
    <font>
      <name val="Arial"/>
      <b val="1"/>
      <color rgb="00FFFFFF"/>
      <sz val="12"/>
    </font>
    <font>
      <name val="Arial"/>
      <b val="1"/>
      <color rgb="002D4036"/>
      <sz val="14"/>
    </font>
    <font>
      <name val="Arial"/>
      <i val="1"/>
      <color rgb="005C5448"/>
      <sz val="8"/>
    </font>
  </fonts>
  <fills count="5">
    <fill>
      <patternFill/>
    </fill>
    <fill>
      <patternFill patternType="gray125"/>
    </fill>
    <fill>
      <patternFill patternType="solid">
        <fgColor rgb="002D4036"/>
      </patternFill>
    </fill>
    <fill>
      <patternFill patternType="solid">
        <fgColor rgb="00F2EDE3"/>
      </patternFill>
    </fill>
    <fill>
      <patternFill patternType="solid">
        <fgColor rgb="00D8CB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4" fontId="3" fillId="3" borderId="0" applyAlignment="1" pivotButton="0" quotePrefix="0" xfId="0">
      <alignment horizontal="right" vertical="center"/>
    </xf>
    <xf numFmtId="4" fontId="6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4" fontId="6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10" fillId="4" borderId="0" applyAlignment="1" pivotButton="0" quotePrefix="0" xfId="0">
      <alignment horizontal="right" vertical="center"/>
    </xf>
    <xf numFmtId="4" fontId="10" fillId="4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8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5" customWidth="1" min="3" max="3"/>
    <col width="10" customWidth="1" min="4" max="4"/>
    <col width="14" customWidth="1" min="5" max="5"/>
    <col width="14" customWidth="1" min="6" max="6"/>
  </cols>
  <sheetData>
    <row r="2">
      <c r="B2" s="1" t="inlineStr">
        <is>
          <t>GIANLUCA</t>
        </is>
      </c>
      <c r="E2" s="2" t="inlineStr">
        <is>
          <t>RECHNUNG</t>
        </is>
      </c>
    </row>
    <row r="3">
      <c r="B3" s="3" t="inlineStr">
        <is>
          <t>Webdesign &amp; Digital Solutions</t>
        </is>
      </c>
    </row>
    <row r="4">
      <c r="E4" s="4" t="inlineStr">
        <is>
          <t>Rechnungs-Nr.:</t>
        </is>
      </c>
      <c r="F4" s="5" t="inlineStr">
        <is>
          <t>2026-001</t>
        </is>
      </c>
    </row>
    <row r="5">
      <c r="B5" s="6" t="inlineStr">
        <is>
          <t>Gianluca</t>
        </is>
      </c>
      <c r="E5" s="4" t="inlineStr">
        <is>
          <t>Datum:</t>
        </is>
      </c>
      <c r="F5" s="5" t="inlineStr">
        <is>
          <t>27.05.2026</t>
        </is>
      </c>
    </row>
    <row r="6">
      <c r="B6" s="6" t="inlineStr">
        <is>
          <t>[ Adresse ]</t>
        </is>
      </c>
      <c r="E6" s="4" t="inlineStr">
        <is>
          <t>Leistungszeitraum:</t>
        </is>
      </c>
      <c r="F6" s="5" t="inlineStr">
        <is>
          <t>27.05.2026</t>
        </is>
      </c>
    </row>
    <row r="7">
      <c r="B7" s="6" t="inlineStr">
        <is>
          <t>[ PLZ Ort ]</t>
        </is>
      </c>
      <c r="E7" s="4" t="inlineStr">
        <is>
          <t>Fällig:</t>
        </is>
      </c>
      <c r="F7" s="5" t="inlineStr">
        <is>
          <t>26.06.2026</t>
        </is>
      </c>
    </row>
    <row r="8">
      <c r="B8" s="6" t="inlineStr">
        <is>
          <t>cidawerker@gmail.com</t>
        </is>
      </c>
    </row>
    <row r="11">
      <c r="B11" s="7" t="inlineStr">
        <is>
          <t>RECHNUNG AN</t>
        </is>
      </c>
    </row>
    <row r="12">
      <c r="B12" s="8" t="inlineStr">
        <is>
          <t>Müllerhof</t>
        </is>
      </c>
    </row>
    <row r="13">
      <c r="B13" s="6" t="inlineStr">
        <is>
          <t>Torsten Stobbe · Betriebsleiter</t>
        </is>
      </c>
    </row>
    <row r="14">
      <c r="B14" s="6" t="inlineStr">
        <is>
          <t>Schulstrasse 11</t>
        </is>
      </c>
    </row>
    <row r="15">
      <c r="B15" s="6" t="inlineStr">
        <is>
          <t>5070 Frick AG</t>
        </is>
      </c>
    </row>
    <row r="16">
      <c r="B16" s="6" t="inlineStr">
        <is>
          <t>info@muellerhof.ch</t>
        </is>
      </c>
    </row>
    <row r="18">
      <c r="B18" s="7" t="inlineStr">
        <is>
          <t>PROJEKT</t>
        </is>
      </c>
    </row>
    <row r="19">
      <c r="B19" s="8" t="inlineStr">
        <is>
          <t>Webseite Müllerhof – Das Wohnzimmer von Frick</t>
        </is>
      </c>
    </row>
    <row r="20">
      <c r="B20" s="9" t="inlineStr">
        <is>
          <t>Konzept, Design, Entwicklung und Deployment einer Marketing-Website mit Community-Plattform.</t>
        </is>
      </c>
    </row>
    <row r="23">
      <c r="B23" s="10" t="inlineStr">
        <is>
          <t>POS.</t>
        </is>
      </c>
      <c r="C23" s="10" t="inlineStr">
        <is>
          <t>LEISTUNG / MODUL</t>
        </is>
      </c>
      <c r="D23" s="10" t="inlineStr">
        <is>
          <t>AUFWAND</t>
        </is>
      </c>
      <c r="E23" s="10" t="inlineStr">
        <is>
          <t>SATZ</t>
        </is>
      </c>
      <c r="F23" s="10" t="inlineStr">
        <is>
          <t>TOTAL CHF</t>
        </is>
      </c>
    </row>
    <row r="24" ht="60" customHeight="1">
      <c r="B24" s="11" t="inlineStr">
        <is>
          <t>1.</t>
        </is>
      </c>
      <c r="C24" s="12" t="inlineStr">
        <is>
          <t>Konzept &amp; Strategie
· Anforderungsanalyse mit Auftraggeber-Dokumenten
· Hauptbotschaft "Wohnzimmer von Frick"
· Informationsarchitektur 15 Seiten
· Branding-Übernahme (Logo, Farbpalette)</t>
        </is>
      </c>
      <c r="D24" s="13" t="inlineStr">
        <is>
          <t>4 h</t>
        </is>
      </c>
      <c r="E24" s="14" t="n">
        <v>120</v>
      </c>
      <c r="F24" s="15">
        <f>D24*120</f>
        <v/>
      </c>
    </row>
    <row r="25" ht="60" customHeight="1">
      <c r="B25" s="16" t="inlineStr">
        <is>
          <t>2.</t>
        </is>
      </c>
      <c r="C25" s="17" t="inlineStr">
        <is>
          <t>Design &amp; Frontend-Entwicklung
· 15 responsive HTML-Seiten
· Eigenes CSS-Framework (550+ Zeilen)
· Hero-Bereiche mit Foto-Hintergründen
· Bereich-Cards, Split-Sections, Galerien
· Mobile-optimiert</t>
        </is>
      </c>
      <c r="D25" s="18" t="inlineStr">
        <is>
          <t>Pauschal</t>
        </is>
      </c>
      <c r="E25" s="18" t="inlineStr">
        <is>
          <t>—</t>
        </is>
      </c>
      <c r="F25" s="19" t="n">
        <v>2800</v>
      </c>
    </row>
    <row r="26" ht="60" customHeight="1">
      <c r="B26" s="11" t="inlineStr">
        <is>
          <t>3.</t>
        </is>
      </c>
      <c r="C26" s="12" t="inlineStr">
        <is>
          <t>Content-Integration
· Texte aus Auftraggeber-Dokumenten übernehmen
· 13 Bilder optimiert &amp; eingebunden
· 8 PDFs (Speisekarten, Wein, Bankett, Seminare) eingebunden
· Logo transparent + Favicon in 6 Auflösungen</t>
        </is>
      </c>
      <c r="D26" s="13" t="inlineStr">
        <is>
          <t>Pauschal</t>
        </is>
      </c>
      <c r="E26" s="13" t="inlineStr">
        <is>
          <t>—</t>
        </is>
      </c>
      <c r="F26" s="15" t="n">
        <v>800</v>
      </c>
    </row>
    <row r="27" ht="60" customHeight="1">
      <c r="B27" s="16" t="inlineStr">
        <is>
          <t>4.</t>
        </is>
      </c>
      <c r="C27" s="17" t="inlineStr">
        <is>
          <t>Events-Modul
· Excel-Daten ausgelesen (Jahresplanung 2027)
· Event-Liste mit Datum-Komponente
· Highlight-Events markiert
· Wiederkehrende Events strukturiert</t>
        </is>
      </c>
      <c r="D27" s="18" t="inlineStr">
        <is>
          <t>Pauschal</t>
        </is>
      </c>
      <c r="E27" s="18" t="inlineStr">
        <is>
          <t>—</t>
        </is>
      </c>
      <c r="F27" s="19" t="n">
        <v>450</v>
      </c>
    </row>
    <row r="28" ht="60" customHeight="1">
      <c r="B28" s="11" t="inlineStr">
        <is>
          <t>5.</t>
        </is>
      </c>
      <c r="C28" s="12" t="inlineStr">
        <is>
          <t>Formular-Module (5 Stück)
· Tisch-Reservation
· Hotel-Buchung
· Event-Anfrage
· Seminar-Anfrage
· Kontakt-Formular
Mit Demo-Modus-Schutz und Validierung</t>
        </is>
      </c>
      <c r="D28" s="13" t="inlineStr">
        <is>
          <t>Pauschal</t>
        </is>
      </c>
      <c r="E28" s="13" t="inlineStr">
        <is>
          <t>—</t>
        </is>
      </c>
      <c r="F28" s="15" t="n">
        <v>750</v>
      </c>
    </row>
    <row r="29" ht="60" customHeight="1">
      <c r="B29" s="16" t="inlineStr">
        <is>
          <t>6.</t>
        </is>
      </c>
      <c r="C29" s="17" t="inlineStr">
        <is>
          <t>Karriere-Seite mit Datei-Upload
· Bewerbungsformular
· File-Upload für Lebenslauf, Zeugnisse, Foto
· 8 Benefits-Darstellung
· Demo-Schutz vor versehentlichem Versand</t>
        </is>
      </c>
      <c r="D29" s="18" t="inlineStr">
        <is>
          <t>Pauschal</t>
        </is>
      </c>
      <c r="E29" s="18" t="inlineStr">
        <is>
          <t>—</t>
        </is>
      </c>
      <c r="F29" s="19" t="n">
        <v>480</v>
      </c>
    </row>
    <row r="30" ht="60" customHeight="1">
      <c r="B30" s="11" t="inlineStr">
        <is>
          <t>7.</t>
        </is>
      </c>
      <c r="C30" s="12" t="inlineStr">
        <is>
          <t>Community-Plattform (Highlight)
· Posts mit Sterne-Bewertung 1-5
· Foto-Upload mit Vorschau
· Posts-Liste mit Filter
· Reddit/Twitter-ähnliches UX</t>
        </is>
      </c>
      <c r="D30" s="13" t="inlineStr">
        <is>
          <t>Pauschal</t>
        </is>
      </c>
      <c r="E30" s="13" t="inlineStr">
        <is>
          <t>—</t>
        </is>
      </c>
      <c r="F30" s="15" t="n">
        <v>1200</v>
      </c>
    </row>
    <row r="31" ht="60" customHeight="1">
      <c r="B31" s="16" t="inlineStr">
        <is>
          <t>8.</t>
        </is>
      </c>
      <c r="C31" s="17" t="inlineStr">
        <is>
          <t>Backend-Setup Supabase
· PostgreSQL-Datenbank konfiguriert
· Tabelle posts mit RLS-Policies
· Storage-Bucket community-photos
· Public-Read, Insert-Policies
· JavaScript-SDK-Integration</t>
        </is>
      </c>
      <c r="D31" s="18" t="inlineStr">
        <is>
          <t>Pauschal</t>
        </is>
      </c>
      <c r="E31" s="18" t="inlineStr">
        <is>
          <t>—</t>
        </is>
      </c>
      <c r="F31" s="19" t="n">
        <v>850</v>
      </c>
    </row>
    <row r="32" ht="60" customHeight="1">
      <c r="B32" s="11" t="inlineStr">
        <is>
          <t>9.</t>
        </is>
      </c>
      <c r="C32" s="12" t="inlineStr">
        <is>
          <t>Karten &amp; Kontakt
· Google Maps Integration
· Anfahrt-Sektion
· Standort-Marker</t>
        </is>
      </c>
      <c r="D32" s="13" t="inlineStr">
        <is>
          <t>Pauschal</t>
        </is>
      </c>
      <c r="E32" s="13" t="inlineStr">
        <is>
          <t>—</t>
        </is>
      </c>
      <c r="F32" s="15" t="n">
        <v>180</v>
      </c>
    </row>
    <row r="33" ht="60" customHeight="1">
      <c r="B33" s="16" t="inlineStr">
        <is>
          <t>10.</t>
        </is>
      </c>
      <c r="C33" s="17" t="inlineStr">
        <is>
          <t>Partner-Integrationen
· Älterwerden im Fricktal
· Alterszentrum Bruggbach
· VAOF
· Mit externen Links und Beschreibung</t>
        </is>
      </c>
      <c r="D33" s="18" t="inlineStr">
        <is>
          <t>Pauschal</t>
        </is>
      </c>
      <c r="E33" s="18" t="inlineStr">
        <is>
          <t>—</t>
        </is>
      </c>
      <c r="F33" s="19" t="n">
        <v>280</v>
      </c>
    </row>
    <row r="34" ht="60" customHeight="1">
      <c r="B34" s="11" t="inlineStr">
        <is>
          <t>11.</t>
        </is>
      </c>
      <c r="C34" s="12" t="inlineStr">
        <is>
          <t>Instagram-Footer &amp; Social
· SVG-Icon eingebunden
· Footer auf allen 15 Seiten konsistent
· Vorbereitet für späteren Link</t>
        </is>
      </c>
      <c r="D34" s="13" t="inlineStr">
        <is>
          <t>Pauschal</t>
        </is>
      </c>
      <c r="E34" s="13" t="inlineStr">
        <is>
          <t>—</t>
        </is>
      </c>
      <c r="F34" s="15" t="n">
        <v>220</v>
      </c>
    </row>
    <row r="35" ht="60" customHeight="1">
      <c r="B35" s="16" t="inlineStr">
        <is>
          <t>12.</t>
        </is>
      </c>
      <c r="C35" s="17" t="inlineStr">
        <is>
          <t>Git-Setup &amp; Deployment
· GitHub-Repository konfiguriert
· Automatisierungsskript (push.command)
· GitHub Pages aktiviert
· Terminal-Anleitung für Kunde
· Live-URL eingerichtet</t>
        </is>
      </c>
      <c r="D35" s="18" t="inlineStr">
        <is>
          <t>Pauschal</t>
        </is>
      </c>
      <c r="E35" s="18" t="inlineStr">
        <is>
          <t>—</t>
        </is>
      </c>
      <c r="F35" s="19" t="n">
        <v>450</v>
      </c>
    </row>
    <row r="36" ht="60" customHeight="1">
      <c r="B36" s="11" t="inlineStr">
        <is>
          <t>13.</t>
        </is>
      </c>
      <c r="C36" s="12" t="inlineStr">
        <is>
          <t>Iterations &amp; Feedback-Runden
· Mehrere Review-Zyklen
· Layout-Anpassungen
· Text-Korrekturen (intern → Kundenperspektive)
· Bug-Fixes (Bild-Cropping, Logo-Transparenz, Icon-Grösse)</t>
        </is>
      </c>
      <c r="D36" s="13" t="inlineStr">
        <is>
          <t>Pauschal</t>
        </is>
      </c>
      <c r="E36" s="13" t="inlineStr">
        <is>
          <t>—</t>
        </is>
      </c>
      <c r="F36" s="15" t="n">
        <v>600</v>
      </c>
    </row>
    <row r="37" ht="60" customHeight="1">
      <c r="B37" s="16" t="inlineStr">
        <is>
          <t>14.</t>
        </is>
      </c>
      <c r="C37" s="17" t="inlineStr">
        <is>
          <t>Dokumentation &amp; Übergabe
· README-Datei
· Terminal-Anleitung
· Anleitung für eigenständige Updates
· Supabase-Übergabe-Doku</t>
        </is>
      </c>
      <c r="D37" s="18" t="inlineStr">
        <is>
          <t>Pauschal</t>
        </is>
      </c>
      <c r="E37" s="18" t="inlineStr">
        <is>
          <t>—</t>
        </is>
      </c>
      <c r="F37" s="19" t="n">
        <v>240</v>
      </c>
    </row>
    <row r="39">
      <c r="E39" s="5" t="inlineStr">
        <is>
          <t>Zwischentotal</t>
        </is>
      </c>
      <c r="F39" s="19">
        <f>SUM(F24:F37)</f>
        <v/>
      </c>
    </row>
    <row r="40">
      <c r="E40" s="20" t="inlineStr">
        <is>
          <t>Rabatt (Erstauftrag −5%)</t>
        </is>
      </c>
      <c r="F40" s="21">
        <f>-F39*0.05</f>
        <v/>
      </c>
    </row>
    <row r="41">
      <c r="E41" s="5" t="inlineStr">
        <is>
          <t>Netto-Total</t>
        </is>
      </c>
      <c r="F41" s="19">
        <f>F39+F40</f>
        <v/>
      </c>
    </row>
    <row r="42">
      <c r="E42" s="20" t="inlineStr">
        <is>
          <t>MwSt 0% (nicht mwstpfl.)</t>
        </is>
      </c>
      <c r="F42" s="21" t="n">
        <v>0</v>
      </c>
    </row>
    <row r="44" ht="35" customHeight="1">
      <c r="E44" s="22" t="inlineStr">
        <is>
          <t>TOTAL CHF</t>
        </is>
      </c>
      <c r="F44" s="23">
        <f>F41</f>
        <v/>
      </c>
    </row>
    <row r="47">
      <c r="B47" s="7" t="inlineStr">
        <is>
          <t>ZAHLUNGSBEDINGUNGEN</t>
        </is>
      </c>
    </row>
    <row r="48">
      <c r="B48" s="6" t="inlineStr">
        <is>
          <t>Zahlbar netto innert 30 Tagen ohne Abzug auf folgendes Konto:</t>
        </is>
      </c>
    </row>
    <row r="50">
      <c r="B50" s="7" t="inlineStr">
        <is>
          <t>Bank:</t>
        </is>
      </c>
      <c r="C50" s="6" t="inlineStr">
        <is>
          <t>[ Deine Bank, z.B. PostFinance ]</t>
        </is>
      </c>
    </row>
    <row r="51">
      <c r="B51" s="7" t="inlineStr">
        <is>
          <t>IBAN:</t>
        </is>
      </c>
      <c r="C51" s="6" t="inlineStr">
        <is>
          <t>[ CH00 0000 0000 0000 0000 0 ]</t>
        </is>
      </c>
    </row>
    <row r="52">
      <c r="B52" s="7" t="inlineStr">
        <is>
          <t>Auf Konto von:</t>
        </is>
      </c>
      <c r="C52" s="6" t="inlineStr">
        <is>
          <t>Gianluca</t>
        </is>
      </c>
    </row>
    <row r="53">
      <c r="B53" s="7" t="inlineStr">
        <is>
          <t>Vermerk:</t>
        </is>
      </c>
      <c r="C53" s="6" t="inlineStr">
        <is>
          <t>Rechnung 2026-001 Müllerhof</t>
        </is>
      </c>
    </row>
    <row r="56">
      <c r="B56" s="24" t="inlineStr">
        <is>
          <t>Vielen Dank für den Auftrag und das Vertrauen.</t>
        </is>
      </c>
    </row>
    <row r="58">
      <c r="B58" s="25" t="inlineStr">
        <is>
          <t>Hinweis: Diese Rechnung enthält keine Mehrwertsteuer (Umsatz unter CHF 100'000/Jahr, Art. 10 MWSTG).</t>
        </is>
      </c>
    </row>
  </sheetData>
  <mergeCells count="4">
    <mergeCell ref="B20:F20"/>
    <mergeCell ref="E2:F2"/>
    <mergeCell ref="B56:F56"/>
    <mergeCell ref="B58:F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2026-05-27T19:31:57Z</dcterms:created>
  <dcterms:modified xmlns:dcterms="http://purl.org/dc/terms/" xmlns:xsi="http://www.w3.org/2001/XMLSchema-instance" xsi:type="dcterms:W3CDTF">2026-05-27T19:31:57Z</dcterms:modified>
</cp:coreProperties>
</file>